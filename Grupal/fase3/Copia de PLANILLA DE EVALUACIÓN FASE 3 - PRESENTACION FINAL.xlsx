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9C1116AA-0F59-453E-A7FA-1E3D9F60B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G71" i="1"/>
  <c r="E71" i="1"/>
  <c r="J70" i="1"/>
  <c r="K70" i="1" s="1"/>
  <c r="H70" i="1"/>
  <c r="I70" i="1" s="1"/>
  <c r="G70" i="1"/>
  <c r="E70" i="1"/>
  <c r="J69" i="1"/>
  <c r="K69" i="1" s="1"/>
  <c r="I69" i="1"/>
  <c r="H69" i="1"/>
  <c r="G69" i="1"/>
  <c r="E69" i="1"/>
  <c r="J68" i="1"/>
  <c r="K68" i="1" s="1"/>
  <c r="H68" i="1"/>
  <c r="I68" i="1" s="1"/>
  <c r="G68" i="1"/>
  <c r="E68" i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H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<sst xmlns="http://schemas.openxmlformats.org/spreadsheetml/2006/main" count="210" uniqueCount="69">
  <si>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</si>
  <si>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</si>
  <si>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</si>
  <si>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</si>
  <si>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</si>
  <si>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</si>
  <si>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</si>
  <si>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</si>
  <si>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</si>
  <si>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</si>
  <si>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</si>
  <si>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</si>
  <si>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</si>
  <si>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</si>
  <si>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</si>
  <si>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</si>
  <si>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</si>
  <si>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</si>
  <si>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</si>
  <si>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</si>
  <si>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</si>
  <si>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</si>
  <si>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</si>
  <si>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</si>
  <si>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</si>
  <si>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</si>
  <si>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</si>
  <si>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</si>
  <si>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</si>
  <si>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</si>
  <si>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</si>
  <si>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</si>
  <si>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</si>
  <si>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</si>
  <si>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</si>
  <si>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</si>
  <si>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</si>
  <si>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</si>
  <si>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</si>
  <si>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</si>
  <si>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</si>
  <si>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</si>
  <si>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</si>
  <si>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</si>
  <si>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</si>
  <si>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</si>
  <si>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</si>
  <si>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</si>
  <si>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</si>
  <si>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</si>
  <si>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</si>
  <si>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</si>
  <si>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</si>
  <si>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</si>
  <si>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</si>
  <si>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</si>
  <si>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</si>
  <si>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</si>
  <si>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</si>
  <si>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</si>
  <si>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</si>
  <si>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</si>
  <si>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</si>
  <si>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</si>
  <si>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MALUENDA</t>
  </si>
  <si>
    <t>RODRIGUEZ</t>
  </si>
  <si>
    <t>OLIVARES TOMAS</t>
  </si>
  <si>
    <t>ASTROSA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</si>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</sst>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0" fillId="0" borderId="0" xfId="0" applyFill="1" applyBorder="1" applyAlignment="1">
      <alignment horizontal="right" vertical="center"/>
    </xf>
    <xf numFmtId="0" fontId="13" fillId="0" borderId="24" xfId="0" applyFont="1" applyBorder="1" applyAlignment="1">
      <alignment horizontal="left"/>
    </xf>
    <xf numFmtId="164" fontId="0" fillId="2" borderId="25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13" fillId="0" borderId="1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J7" sqref="J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4</v>
      </c>
      <c r="D4" s="37">
        <f>C60</f>
        <v>4</v>
      </c>
      <c r="E4" s="36">
        <f>C4*C$2+D4*D$2</f>
        <v>4</v>
      </c>
    </row>
    <row r="5" spans="1:11" x14ac:dyDescent="0.25">
      <c r="A5" s="3">
        <v>2</v>
      </c>
      <c r="B5" s="16" t="s">
        <v>65</v>
      </c>
      <c r="C5" s="31">
        <f>C34</f>
        <v>4</v>
      </c>
      <c r="D5" s="37">
        <f>C73</f>
        <v>4</v>
      </c>
      <c r="E5" s="36">
        <f t="shared" ref="E5:E6" si="0">C5*C$2+D5*D$2</f>
        <v>4</v>
      </c>
    </row>
    <row r="6" spans="1:11" x14ac:dyDescent="0.25">
      <c r="A6" s="3">
        <v>3</v>
      </c>
      <c r="B6" s="59" t="s">
        <v>66</v>
      </c>
      <c r="C6" s="60">
        <f>C47</f>
        <v>4</v>
      </c>
      <c r="D6" s="61">
        <f>C86</f>
        <v>4</v>
      </c>
      <c r="E6" s="62">
        <f t="shared" si="0"/>
        <v>4</v>
      </c>
    </row>
    <row r="7" spans="1:11" ht="15" customHeight="1" x14ac:dyDescent="0.25">
      <c r="A7" s="58">
        <v>4</v>
      </c>
      <c r="B7" s="63" t="s">
        <v>67</v>
      </c>
      <c r="C7" s="35" t="s">
        <v>68</v>
      </c>
      <c r="D7" s="35" t="s">
        <v>68</v>
      </c>
      <c r="E7" s="35" t="s">
        <v>68</v>
      </c>
    </row>
    <row r="11" spans="1:11" ht="18.75" outlineLevel="1" x14ac:dyDescent="0.25">
      <c r="A11" s="48" t="s">
        <v>4</v>
      </c>
      <c r="B11" s="11" t="str">
        <f>B4</f>
        <v>MALUENDA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63</v>
      </c>
      <c r="G14" s="12">
        <f>IF(F14="X",60*0.25,"")</f>
        <v>15</v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63</v>
      </c>
      <c r="G16" s="12">
        <f>IF(F16="X",60*0.05,"")</f>
        <v>3</v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63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63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63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60</v>
      </c>
      <c r="D20" s="13"/>
      <c r="E20" s="13">
        <f>SUM(E13:E19)</f>
        <v>0</v>
      </c>
      <c r="F20" s="13"/>
      <c r="G20" s="13">
        <f>SUM(G13:G19)</f>
        <v>60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4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RODRIGUEZ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63</v>
      </c>
      <c r="G27" s="12">
        <f>IF(F27="X",60*0.25,"")</f>
        <v>15</v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63</v>
      </c>
      <c r="G29" s="12">
        <f>IF(F29="X",60*0.05,"")</f>
        <v>3</v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63</v>
      </c>
      <c r="G30" s="12">
        <f>IF(F30="X",60*0.05,"")</f>
        <v>3</v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">
        <v>63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63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">
      <c r="A33" s="40"/>
      <c r="B33" s="18" t="s">
        <v>12</v>
      </c>
      <c r="C33" s="22">
        <f>E33+G33+I33+K33</f>
        <v>60</v>
      </c>
      <c r="D33" s="13"/>
      <c r="E33" s="13">
        <f>SUM(E26:E32)</f>
        <v>0</v>
      </c>
      <c r="F33" s="13"/>
      <c r="G33" s="13">
        <f>SUM(G26:G32)</f>
        <v>60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4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OLIVARES TOMAS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63</v>
      </c>
      <c r="G40" s="12">
        <f>IF(F40="X",60*0.25,"")</f>
        <v>15</v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63</v>
      </c>
      <c r="G42" s="12">
        <f>IF(F42="X",60*0.05,"")</f>
        <v>3</v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63</v>
      </c>
      <c r="G43" s="12">
        <f>IF(F43="X",60*0.05,"")</f>
        <v>3</v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">
        <v>63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63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 x14ac:dyDescent="0.3">
      <c r="A46" s="40"/>
      <c r="B46" s="18" t="s">
        <v>12</v>
      </c>
      <c r="C46" s="22">
        <f>E46+G46+I46+K46</f>
        <v>60</v>
      </c>
      <c r="D46" s="13"/>
      <c r="E46" s="13">
        <f>SUM(E39:E45)</f>
        <v>0</v>
      </c>
      <c r="F46" s="13"/>
      <c r="G46" s="13">
        <f>SUM(G39:G45)</f>
        <v>60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4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MALUENDA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63</v>
      </c>
      <c r="G52" s="12">
        <f>IF(F52="X",60*0.15,"")</f>
        <v>9</v>
      </c>
      <c r="H52" s="12" t="str">
        <f t="shared" ref="H52:H56" si="11">IF($C52=ML,"X","")</f>
        <v/>
      </c>
      <c r="I52" s="12" t="str">
        <f>IF(H52="X",30*0.15,"")</f>
        <v/>
      </c>
      <c r="J52" s="12" t="str">
        <f t="shared" ref="J52:J56" si="12">IF($C52=NL,"X","")</f>
        <v/>
      </c>
      <c r="K52" s="12" t="str">
        <f t="shared" ref="K52:K58" si="13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63</v>
      </c>
      <c r="G53" s="12">
        <f>IF(F53="X",60*0.25,"")</f>
        <v>15</v>
      </c>
      <c r="H53" s="12" t="str">
        <f t="shared" si="11"/>
        <v/>
      </c>
      <c r="I53" s="12" t="str">
        <f>IF(H53="X",30*0.25,"")</f>
        <v/>
      </c>
      <c r="J53" s="12" t="str">
        <f t="shared" si="12"/>
        <v/>
      </c>
      <c r="K53" s="12" t="str">
        <f t="shared" si="13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63</v>
      </c>
      <c r="G54" s="12">
        <f>IF(F54="X",60*0.2,"")</f>
        <v>12</v>
      </c>
      <c r="H54" s="12" t="str">
        <f t="shared" si="11"/>
        <v/>
      </c>
      <c r="I54" s="12" t="str">
        <f>IF(H54="X",30*0.2,"")</f>
        <v/>
      </c>
      <c r="J54" s="12" t="str">
        <f t="shared" si="12"/>
        <v/>
      </c>
      <c r="K54" s="12" t="str">
        <f t="shared" si="13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63</v>
      </c>
      <c r="G55" s="12">
        <f>IF(F55="X",60*0.05,"")</f>
        <v>3</v>
      </c>
      <c r="H55" s="12" t="str">
        <f t="shared" si="11"/>
        <v/>
      </c>
      <c r="I55" s="12" t="str">
        <f>IF(H55="X",30*0.05,"")</f>
        <v/>
      </c>
      <c r="J55" s="12" t="str">
        <f t="shared" si="12"/>
        <v/>
      </c>
      <c r="K55" s="12" t="str">
        <f t="shared" si="13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63</v>
      </c>
      <c r="G56" s="12">
        <f>IF(F56="X",60*0.05,"")</f>
        <v>3</v>
      </c>
      <c r="H56" s="12" t="str">
        <f t="shared" si="11"/>
        <v/>
      </c>
      <c r="I56" s="12" t="str">
        <f>IF(H56="X",30*0.05,"")</f>
        <v/>
      </c>
      <c r="J56" s="12" t="str">
        <f t="shared" si="12"/>
        <v/>
      </c>
      <c r="K56" s="12" t="str">
        <f t="shared" si="13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">
        <v>63</v>
      </c>
      <c r="G57" s="12">
        <f>IF(F57="X",60*0.2,"")</f>
        <v>12</v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3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63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3"/>
        <v/>
      </c>
    </row>
    <row r="59" spans="1:11" ht="24" customHeight="1" x14ac:dyDescent="0.3">
      <c r="A59" s="40"/>
      <c r="B59" s="18" t="s">
        <v>12</v>
      </c>
      <c r="C59" s="22">
        <f>E59+G59+I59+K59</f>
        <v>60</v>
      </c>
      <c r="D59" s="13"/>
      <c r="E59" s="13">
        <f>SUM(E52:E58)</f>
        <v>0</v>
      </c>
      <c r="F59" s="13"/>
      <c r="G59" s="13">
        <f>SUM(G52:G58)</f>
        <v>60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4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RODRIGUEZ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69" si="14">IF($C65=ML,"X","")</f>
        <v/>
      </c>
      <c r="I65" s="12" t="str">
        <f>IF(H65="X",30*0.15,"")</f>
        <v/>
      </c>
      <c r="J65" s="12" t="str">
        <f t="shared" ref="J65:J69" si="15">IF($C65=NL,"X","")</f>
        <v/>
      </c>
      <c r="K65" s="12" t="str">
        <f t="shared" ref="K65:K71" si="1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63</v>
      </c>
      <c r="G66" s="12">
        <f>IF(F66="X",60*0.25,"")</f>
        <v>15</v>
      </c>
      <c r="H66" s="12" t="str">
        <f t="shared" si="14"/>
        <v/>
      </c>
      <c r="I66" s="12" t="str">
        <f>IF(H66="X",30*0.25,"")</f>
        <v/>
      </c>
      <c r="J66" s="12" t="str">
        <f t="shared" si="15"/>
        <v/>
      </c>
      <c r="K66" s="12" t="str">
        <f t="shared" si="1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14"/>
        <v/>
      </c>
      <c r="I67" s="12" t="str">
        <f>IF(H67="X",30*0.2,"")</f>
        <v/>
      </c>
      <c r="J67" s="12" t="str">
        <f t="shared" si="15"/>
        <v/>
      </c>
      <c r="K67" s="12" t="str">
        <f t="shared" si="1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63</v>
      </c>
      <c r="G68" s="12">
        <f>IF(F68="X",60*0.05,"")</f>
        <v>3</v>
      </c>
      <c r="H68" s="12" t="str">
        <f t="shared" si="14"/>
        <v/>
      </c>
      <c r="I68" s="12" t="str">
        <f>IF(H68="X",30*0.05,"")</f>
        <v/>
      </c>
      <c r="J68" s="12" t="str">
        <f t="shared" si="15"/>
        <v/>
      </c>
      <c r="K68" s="12" t="str">
        <f t="shared" si="1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63</v>
      </c>
      <c r="G69" s="12">
        <f>IF(F69="X",60*0.05,"")</f>
        <v>3</v>
      </c>
      <c r="H69" s="12" t="str">
        <f t="shared" si="14"/>
        <v/>
      </c>
      <c r="I69" s="12" t="str">
        <f>IF(H69="X",30*0.05,"")</f>
        <v/>
      </c>
      <c r="J69" s="12" t="str">
        <f t="shared" si="15"/>
        <v/>
      </c>
      <c r="K69" s="12" t="str">
        <f t="shared" si="1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">
        <v>63</v>
      </c>
      <c r="G70" s="12">
        <f>IF(F70="X",60*0.2,"")</f>
        <v>12</v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63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6"/>
        <v/>
      </c>
    </row>
    <row r="72" spans="1:11" ht="24" customHeight="1" x14ac:dyDescent="0.3">
      <c r="A72" s="40"/>
      <c r="B72" s="18" t="s">
        <v>12</v>
      </c>
      <c r="C72" s="22">
        <f>E72+G72+I72+K72</f>
        <v>60</v>
      </c>
      <c r="D72" s="13"/>
      <c r="E72" s="13">
        <f>SUM(E65:E71)</f>
        <v>0</v>
      </c>
      <c r="F72" s="13"/>
      <c r="G72" s="13">
        <f>SUM(G65:G71)</f>
        <v>60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4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OLIVARES TOMAS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17">IF($C78=ML,"X","")</f>
        <v/>
      </c>
      <c r="I78" s="12" t="str">
        <f>IF(H78="X",30*0.15,"")</f>
        <v/>
      </c>
      <c r="J78" s="12" t="str">
        <f t="shared" ref="J78:J82" si="18">IF($C78=NL,"X","")</f>
        <v/>
      </c>
      <c r="K78" s="12" t="str">
        <f t="shared" ref="K78:K84" si="1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63</v>
      </c>
      <c r="G79" s="12">
        <f>IF(F79="X",60*0.25,"")</f>
        <v>15</v>
      </c>
      <c r="H79" s="12" t="str">
        <f t="shared" si="17"/>
        <v/>
      </c>
      <c r="I79" s="12" t="str">
        <f>IF(H79="X",30*0.25,"")</f>
        <v/>
      </c>
      <c r="J79" s="12" t="str">
        <f t="shared" si="18"/>
        <v/>
      </c>
      <c r="K79" s="12" t="str">
        <f t="shared" si="1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17"/>
        <v/>
      </c>
      <c r="I80" s="12" t="str">
        <f>IF(H80="X",30*0.2,"")</f>
        <v/>
      </c>
      <c r="J80" s="12" t="str">
        <f t="shared" si="18"/>
        <v/>
      </c>
      <c r="K80" s="12" t="str">
        <f t="shared" si="1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63</v>
      </c>
      <c r="G81" s="12">
        <f>IF(F81="X",60*0.05,"")</f>
        <v>3</v>
      </c>
      <c r="H81" s="12" t="str">
        <f t="shared" si="17"/>
        <v/>
      </c>
      <c r="I81" s="12" t="str">
        <f>IF(H81="X",30*0.05,"")</f>
        <v/>
      </c>
      <c r="J81" s="12" t="str">
        <f t="shared" si="18"/>
        <v/>
      </c>
      <c r="K81" s="12" t="str">
        <f t="shared" si="1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63</v>
      </c>
      <c r="G82" s="12">
        <f>IF(F82="X",60*0.05,"")</f>
        <v>3</v>
      </c>
      <c r="H82" s="12" t="str">
        <f t="shared" si="17"/>
        <v/>
      </c>
      <c r="I82" s="12" t="str">
        <f>IF(H82="X",30*0.05,"")</f>
        <v/>
      </c>
      <c r="J82" s="12" t="str">
        <f t="shared" si="18"/>
        <v/>
      </c>
      <c r="K82" s="12" t="str">
        <f t="shared" si="1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">
        <v>63</v>
      </c>
      <c r="G83" s="12">
        <f>IF(F83="X",60*0.2,"")</f>
        <v>12</v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1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">
        <v>63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19"/>
        <v/>
      </c>
    </row>
    <row r="85" spans="1:11" ht="24" customHeight="1" x14ac:dyDescent="0.3">
      <c r="A85" s="40"/>
      <c r="B85" s="18" t="s">
        <v>12</v>
      </c>
      <c r="C85" s="22">
        <f>E85+G85+I85+K85</f>
        <v>60</v>
      </c>
      <c r="D85" s="13"/>
      <c r="E85" s="13">
        <f>SUM(E78:E84)</f>
        <v>0</v>
      </c>
      <c r="F85" s="13"/>
      <c r="G85" s="13">
        <f>SUM(G78:G84)</f>
        <v>60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4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2025-12-08T20:28:09Z</dcterms:modified>
  <cp:category/>
  <cp:contentStatus/>
</cp:coreProperties>
</file>