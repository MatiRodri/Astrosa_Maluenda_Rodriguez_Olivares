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anka\Downloads\"/>
    </mc:Choice>
  </mc:AlternateContent>
  <xr:revisionPtr revIDLastSave="0" documentId="8_{026F078B-68A6-460A-98A5-9C061B0756B3}"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4" i="1" l="1"/>
  <c r="K64" i="1" s="1"/>
  <c r="H64" i="1"/>
  <c r="I64" i="1" s="1"/>
  <c r="G64" i="1"/>
  <c r="E64" i="1"/>
  <c r="B64" i="1"/>
  <c r="J63" i="1"/>
  <c r="K63" i="1" s="1"/>
  <c r="K65" i="1" s="1"/>
  <c r="H63" i="1"/>
  <c r="I63" i="1" s="1"/>
  <c r="G63" i="1"/>
  <c r="E63" i="1"/>
  <c r="B63" i="1"/>
  <c r="J62" i="1"/>
  <c r="K62" i="1" s="1"/>
  <c r="H62" i="1"/>
  <c r="I62" i="1" s="1"/>
  <c r="I65" i="1" s="1"/>
  <c r="G62" i="1"/>
  <c r="G65" i="1" s="1"/>
  <c r="E62" i="1"/>
  <c r="E65" i="1" s="1"/>
  <c r="C65" i="1" s="1"/>
  <c r="C66" i="1" s="1"/>
  <c r="B62" i="1"/>
  <c r="B53" i="1"/>
  <c r="B42" i="1"/>
  <c r="B52" i="1"/>
  <c r="B41" i="1"/>
  <c r="B51" i="1"/>
  <c r="B40" i="1"/>
  <c r="J53" i="1"/>
  <c r="K53" i="1" s="1"/>
  <c r="H53" i="1"/>
  <c r="I53" i="1" s="1"/>
  <c r="G53" i="1"/>
  <c r="E53" i="1"/>
  <c r="J52" i="1"/>
  <c r="K52" i="1" s="1"/>
  <c r="H52" i="1"/>
  <c r="I52" i="1" s="1"/>
  <c r="G52" i="1"/>
  <c r="E52" i="1"/>
  <c r="J51" i="1"/>
  <c r="K51" i="1" s="1"/>
  <c r="H51" i="1"/>
  <c r="I51" i="1" s="1"/>
  <c r="G51" i="1"/>
  <c r="E51" i="1"/>
  <c r="J42" i="1"/>
  <c r="K42" i="1" s="1"/>
  <c r="H42" i="1"/>
  <c r="I42" i="1" s="1"/>
  <c r="G42" i="1"/>
  <c r="E42" i="1"/>
  <c r="J41" i="1"/>
  <c r="K41" i="1" s="1"/>
  <c r="H41" i="1"/>
  <c r="I41" i="1" s="1"/>
  <c r="G41" i="1"/>
  <c r="E41" i="1"/>
  <c r="J40" i="1"/>
  <c r="K40" i="1" s="1"/>
  <c r="H40" i="1"/>
  <c r="I40" i="1" s="1"/>
  <c r="G40" i="1"/>
  <c r="E40" i="1"/>
  <c r="B28" i="1"/>
  <c r="E28" i="1"/>
  <c r="G28" i="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G30" i="1"/>
  <c r="E30" i="1"/>
  <c r="C43" i="1" l="1"/>
  <c r="C44" i="1" s="1"/>
  <c r="C54" i="1"/>
  <c r="C55" i="1" s="1"/>
  <c r="E31" i="1"/>
  <c r="G31" i="1"/>
  <c r="I31" i="1"/>
  <c r="K31" i="1"/>
  <c r="E13" i="1"/>
  <c r="E14" i="1"/>
  <c r="E15" i="1"/>
  <c r="E16" i="1"/>
  <c r="E17" i="1"/>
  <c r="E18" i="1"/>
  <c r="F19" i="1"/>
  <c r="G19" i="1" s="1"/>
  <c r="E19" i="1" l="1"/>
  <c r="H19" i="1"/>
  <c r="I19" i="1" s="1"/>
  <c r="J19" i="1"/>
  <c r="K19" i="1" s="1"/>
  <c r="G16" i="1"/>
  <c r="H16" i="1"/>
  <c r="I16" i="1" s="1"/>
  <c r="J16" i="1"/>
  <c r="K16" i="1" s="1"/>
  <c r="C24" i="1"/>
  <c r="J18" i="1"/>
  <c r="K18" i="1" s="1"/>
  <c r="H18" i="1"/>
  <c r="I18" i="1" s="1"/>
  <c r="F18" i="1"/>
  <c r="G18" i="1" s="1"/>
  <c r="J17" i="1"/>
  <c r="K17" i="1" s="1"/>
  <c r="H17" i="1"/>
  <c r="I17" i="1" s="1"/>
  <c r="G17" i="1"/>
  <c r="J15" i="1"/>
  <c r="K15" i="1" s="1"/>
  <c r="H15" i="1"/>
  <c r="I15" i="1" s="1"/>
  <c r="G15" i="1"/>
  <c r="J14" i="1"/>
  <c r="I14" i="1"/>
  <c r="F14" i="1"/>
  <c r="G14" i="1" s="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<sst xmlns="http://schemas.openxmlformats.org/spreadsheetml/2006/main" count="174" uniqueCount="82">
  <si>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</si>
  <si>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</si>
  <si>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</si>
  <si>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</si>
  <si>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</si>
  <si>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</si>
  <si>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</si>
  <si>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</si>
  <si>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</si>
  <si>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</si>
  <si>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</si>
  <si>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</si>
  <si>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</si>
  <si>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</si>
  <si>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</si>
  <si>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</si>
  <si>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</si>
  <si>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</si>
  <si>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</si>
  <si>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</si>
  <si>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</si>
  <si>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</si>
  <si>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</si>
  <si>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</si>
  <si>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</si>
  <si>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</si>
  <si>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</si>
  <si>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</si>
  <si>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</si>
  <si>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</si>
  <si>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</si>
  <si>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</si>
  <si>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</si>
  <si>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</si>
  <si>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</si>
  <si>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</si>
  <si>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</si>
  <si>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</si>
  <si>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</si>
  <si>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</si>
  <si>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</si>
  <si>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</si>
  <si>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</si>
  <si>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</si>
  <si>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</si>
  <si>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</si>
  <si>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</si>
  <si>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</si>
  <si>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</si>
  <si>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</si>
  <si>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</si>
  <si>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</si>
  <si>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</si>
  <si>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</si>
  <si>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</si>
  <si>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</si>
  <si>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</si>
  <si>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</si>
  <si>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</si>
  <si>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</si>
  <si>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</si>
  <si>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</si>
  <si>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</si>
  <si>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</si>
  <si>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</si>
  <si>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</si>
  <si>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</si>
  <si>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</si>
  <si>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</si>
  <si>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</si>
  <si>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</si>
  <si>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</si>
  <si>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</si>
  <si>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</si>
  <si>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</si>
  <si>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</si>
  <si>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Maluenda</t>
  </si>
  <si>
    <t xml:space="preserve">Rodriguez </t>
  </si>
  <si>
    <t xml:space="preserve">Olivares </t>
  </si>
  <si>
    <t>astrosa</t>
  </si>
  <si>
    <t>Astrosa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</si>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</sst>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xf numFmtId="0" fontId="14" fillId="0" borderId="16" xfId="0" applyFont="1" applyBorder="1" applyAlignment="1">
      <alignment horizontal="left"/>
    </xf>
    <xf numFmtId="164" fontId="0" fillId="2" borderId="2" xfId="0" applyNumberFormat="1" applyFill="1" applyBorder="1" applyAlignment="1">
      <alignment horizontal="center"/>
    </xf>
    <xf numFmtId="164" fontId="0" fillId="3" borderId="2" xfId="0" applyNumberFormat="1" applyFill="1" applyBorder="1" applyAlignment="1">
      <alignment horizontal="center"/>
    </xf>
    <xf numFmtId="0" fontId="14" fillId="0" borderId="24" xfId="0" applyFont="1" applyFill="1" applyBorder="1" applyAlignment="1">
      <alignment horizontal="left"/>
    </xf>
    <xf numFmtId="0" fontId="0" fillId="0" borderId="24" xfId="0"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50" zoomScale="120" zoomScaleNormal="120" workbookViewId="0">
      <selection activeCell="J74" sqref="J7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4.5999999999999996</v>
      </c>
      <c r="D4" s="5">
        <f>$C$32</f>
        <v>4</v>
      </c>
      <c r="E4" s="6">
        <f>C4*C$2+D4*D$2</f>
        <v>4.4499999999999993</v>
      </c>
      <c r="G4" s="1"/>
    </row>
    <row r="5" spans="1:11" x14ac:dyDescent="0.25">
      <c r="A5" s="4">
        <v>2</v>
      </c>
      <c r="B5" s="27" t="s">
        <v>77</v>
      </c>
      <c r="C5" s="5">
        <f>EVALUACION1!$C$21</f>
        <v>4.5999999999999996</v>
      </c>
      <c r="D5" s="5">
        <f>C44</f>
        <v>4</v>
      </c>
      <c r="E5" s="6">
        <f t="shared" ref="E5:E6" si="0">C5*C$2+D5*D$2</f>
        <v>4.4499999999999993</v>
      </c>
      <c r="G5" s="1"/>
    </row>
    <row r="6" spans="1:11" x14ac:dyDescent="0.25">
      <c r="A6" s="4">
        <v>3</v>
      </c>
      <c r="B6" s="74" t="s">
        <v>78</v>
      </c>
      <c r="C6" s="75">
        <f>EVALUACION1!$C$21</f>
        <v>4.5999999999999996</v>
      </c>
      <c r="D6" s="75">
        <f>C55</f>
        <v>4</v>
      </c>
      <c r="E6" s="76">
        <f t="shared" si="0"/>
        <v>4.4499999999999993</v>
      </c>
      <c r="G6" s="1"/>
    </row>
    <row r="7" spans="1:11" ht="15" customHeight="1" x14ac:dyDescent="0.25">
      <c r="A7" s="73">
        <v>4</v>
      </c>
      <c r="B7" s="77" t="s">
        <v>80</v>
      </c>
      <c r="C7" s="78"/>
      <c r="D7" s="78"/>
      <c r="E7" s="78"/>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c r="E13" s="16" t="str">
        <f>IF(D13="X",100*0.1,"")</f>
        <v/>
      </c>
      <c r="F13" s="16" t="s">
        <v>81</v>
      </c>
      <c r="G13" s="16">
        <f>IF(F13="X",60*0.1,"")</f>
        <v>6</v>
      </c>
      <c r="H13" s="16" t="str">
        <f t="shared" ref="H13:H16" si="1">IF($C13=ML,"X","")</f>
        <v/>
      </c>
      <c r="I13" s="16" t="str">
        <f>IF(H13="X",30*0.1,"")</f>
        <v/>
      </c>
      <c r="J13" s="16" t="str">
        <f t="shared" ref="J13:J16" si="2">IF($C13=NL,"X","")</f>
        <v/>
      </c>
      <c r="K13" s="16" t="str">
        <f t="shared" ref="K13:K16" si="3">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tr">
        <f t="shared" ref="F13:F16" si="4">IF($C14=L,"X","")</f>
        <v/>
      </c>
      <c r="G14" s="16" t="str">
        <f>IF(F14="X",60*0.2,"")</f>
        <v/>
      </c>
      <c r="H14" s="16" t="s">
        <v>81</v>
      </c>
      <c r="I14" s="16">
        <f>IF(H14="X",30*0.2,"")</f>
        <v>6</v>
      </c>
      <c r="J14" s="16" t="str">
        <f t="shared" si="2"/>
        <v/>
      </c>
      <c r="K14" s="16" t="str">
        <f t="shared" si="3"/>
        <v/>
      </c>
    </row>
    <row r="15" spans="1:11" ht="24" outlineLevel="1" x14ac:dyDescent="0.25">
      <c r="A15" s="70"/>
      <c r="B15" s="30" t="str">
        <f>RUBRICA!A7</f>
        <v>4. Relaciona el Proyecto APT con las competencias del perfil de egreso de su Plan de Estudio.</v>
      </c>
      <c r="C15" s="28" t="s">
        <v>63</v>
      </c>
      <c r="D15" s="16"/>
      <c r="E15" s="16" t="str">
        <f>IF(D15="X",100*0.05,"")</f>
        <v/>
      </c>
      <c r="F15" s="16" t="s">
        <v>81</v>
      </c>
      <c r="G15" s="16">
        <f>IF(F15="X",60*0.05,"")</f>
        <v>3</v>
      </c>
      <c r="H15" s="16" t="str">
        <f t="shared" si="1"/>
        <v/>
      </c>
      <c r="I15" s="16" t="str">
        <f>IF(H15="X",30*0.05,"")</f>
        <v/>
      </c>
      <c r="J15" s="16" t="str">
        <f t="shared" si="2"/>
        <v/>
      </c>
      <c r="K15" s="16" t="str">
        <f t="shared" si="3"/>
        <v/>
      </c>
    </row>
    <row r="16" spans="1:11" ht="24" outlineLevel="1" x14ac:dyDescent="0.25">
      <c r="A16" s="70"/>
      <c r="B16" s="30" t="str">
        <f>RUBRICA!A8</f>
        <v>5. Utiliza de manera precisa el lenguaje técnico en los entregables de acuerdo con lo requerido por la disciplina.</v>
      </c>
      <c r="C16" s="28" t="s">
        <v>63</v>
      </c>
      <c r="D16" s="16"/>
      <c r="E16" s="16" t="str">
        <f>IF(D16="X",100*0.05,"")</f>
        <v/>
      </c>
      <c r="F16" s="16" t="s">
        <v>81</v>
      </c>
      <c r="G16" s="16">
        <f>IF(F16="X",60*0.05,"")</f>
        <v>3</v>
      </c>
      <c r="H16" s="16" t="str">
        <f t="shared" si="1"/>
        <v/>
      </c>
      <c r="I16" s="16" t="str">
        <f>IF(H16="X",30*0.05,"")</f>
        <v/>
      </c>
      <c r="J16" s="16" t="str">
        <f t="shared" si="2"/>
        <v/>
      </c>
      <c r="K16" s="16" t="str">
        <f t="shared" si="3"/>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c r="E17" s="16" t="str">
        <f>IF(D17="X",100*0.05,"")</f>
        <v/>
      </c>
      <c r="F17" s="16" t="s">
        <v>81</v>
      </c>
      <c r="G17" s="16">
        <f>IF(F17="X",60*0.05,"")</f>
        <v>3</v>
      </c>
      <c r="H17" s="16" t="str">
        <f>IF($C17=ML,"X","")</f>
        <v/>
      </c>
      <c r="I17" s="16" t="str">
        <f>IF(H17="X",30*0.05,"")</f>
        <v/>
      </c>
      <c r="J17" s="16" t="str">
        <f>IF($C17=NL,"X","")</f>
        <v/>
      </c>
      <c r="K17" s="16" t="str">
        <f t="shared" ref="K17:K19" si="5">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
        <v>81</v>
      </c>
      <c r="E18" s="16">
        <f>IF(D18="X",100*0.15,"")</f>
        <v>15</v>
      </c>
      <c r="F18" s="16" t="str">
        <f>IF($C18=L,"X","")</f>
        <v/>
      </c>
      <c r="G18" s="16" t="str">
        <f>IF(F18="X",60*0.15,"")</f>
        <v/>
      </c>
      <c r="H18" s="16" t="str">
        <f>IF($C18=ML,"X","")</f>
        <v/>
      </c>
      <c r="I18" s="16" t="str">
        <f>IF(H18="X",30*0.15,"")</f>
        <v/>
      </c>
      <c r="J18" s="16" t="str">
        <f>IF($C18=NL,"X","")</f>
        <v/>
      </c>
      <c r="K18" s="16" t="str">
        <f t="shared" si="5"/>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
        <v>81</v>
      </c>
      <c r="E19" s="16">
        <f>IF(D19="X",100*0.15,"")</f>
        <v>15</v>
      </c>
      <c r="F19" s="16" t="str">
        <f>IF($C19=L,"X","")</f>
        <v/>
      </c>
      <c r="G19" s="16" t="str">
        <f>IF(F19="X",60*0.15,"")</f>
        <v/>
      </c>
      <c r="H19" s="16" t="str">
        <f>IF($C19=ML,"X","")</f>
        <v/>
      </c>
      <c r="I19" s="16" t="str">
        <f>IF(H19="X",30*0.15,"")</f>
        <v/>
      </c>
      <c r="J19" s="16" t="str">
        <f>IF($C19=NL,"X","")</f>
        <v/>
      </c>
      <c r="K19" s="16" t="str">
        <f t="shared" si="5"/>
        <v/>
      </c>
    </row>
    <row r="20" spans="1:11" ht="15.75" customHeight="1" outlineLevel="1" x14ac:dyDescent="0.3">
      <c r="A20" s="65"/>
      <c r="B20" s="29" t="s">
        <v>66</v>
      </c>
      <c r="C20" s="33">
        <f>E20+G20+I20+K20</f>
        <v>51</v>
      </c>
      <c r="D20" s="19"/>
      <c r="E20" s="19">
        <f>SUM(E13:E19)</f>
        <v>30</v>
      </c>
      <c r="F20" s="19"/>
      <c r="G20" s="19">
        <f>SUM(G13:G19)</f>
        <v>15</v>
      </c>
      <c r="H20" s="19"/>
      <c r="I20" s="19">
        <f>SUM(I13:I19)</f>
        <v>6</v>
      </c>
      <c r="J20" s="19"/>
      <c r="K20" s="19">
        <f>SUM(K13:K19)</f>
        <v>0</v>
      </c>
    </row>
    <row r="21" spans="1:11" ht="15.75" customHeight="1" outlineLevel="1" x14ac:dyDescent="0.3">
      <c r="A21" s="54"/>
      <c r="B21" s="32" t="s">
        <v>67</v>
      </c>
      <c r="C21" s="20">
        <f>VLOOKUP(C20,ESCALA_IEP!A1:B152,2,FALSE)</f>
        <v>4.5999999999999996</v>
      </c>
    </row>
    <row r="22" spans="1:11" ht="15.75" customHeight="1" x14ac:dyDescent="0.25"/>
    <row r="23" spans="1:11" ht="15.75" customHeight="1" x14ac:dyDescent="0.25"/>
    <row r="24" spans="1:11" ht="15.75" customHeight="1" x14ac:dyDescent="0.25">
      <c r="A24" s="64" t="s">
        <v>59</v>
      </c>
      <c r="B24" s="53" t="s">
        <v>68</v>
      </c>
      <c r="C24" s="56" t="str">
        <f>$B$4</f>
        <v>Maluenda</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c r="E28" s="16" t="str">
        <f>IF(D28="X",100*0.05,"")</f>
        <v/>
      </c>
      <c r="F28" s="16" t="s">
        <v>81</v>
      </c>
      <c r="G28" s="16">
        <f>IF(F28="X",60*0.05,"")</f>
        <v>3</v>
      </c>
      <c r="H28" s="16" t="str">
        <f t="shared" ref="H28:H30" si="6">IF($C28=ML,"X","")</f>
        <v/>
      </c>
      <c r="I28" s="16" t="str">
        <f>IF(H28="X",30*0.05,"")</f>
        <v/>
      </c>
      <c r="J28" s="16" t="str">
        <f t="shared" ref="J28:J30" si="7">IF($C28=NL,"X","")</f>
        <v/>
      </c>
      <c r="K28" s="16" t="str">
        <f t="shared" ref="K28:K30" si="8">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c r="E29" s="16" t="str">
        <f>IF(D29="X",100*0.1,"")</f>
        <v/>
      </c>
      <c r="F29" s="16" t="s">
        <v>81</v>
      </c>
      <c r="G29" s="16">
        <f>IF(F29="X",60*0.1,"")</f>
        <v>6</v>
      </c>
      <c r="H29" s="16" t="str">
        <f t="shared" si="6"/>
        <v/>
      </c>
      <c r="I29" s="16" t="str">
        <f>IF(H29="X",30*0.1,"")</f>
        <v/>
      </c>
      <c r="J29" s="16" t="str">
        <f t="shared" si="7"/>
        <v/>
      </c>
      <c r="K29" s="16" t="str">
        <f t="shared" si="8"/>
        <v/>
      </c>
    </row>
    <row r="30" spans="1:11" ht="25.9" customHeight="1" x14ac:dyDescent="0.25">
      <c r="A30" s="65"/>
      <c r="B30" s="30" t="str">
        <f>RUBRICA!A13</f>
        <v>10. Colaboración y trabajo en equipo *</v>
      </c>
      <c r="C30" s="28" t="s">
        <v>63</v>
      </c>
      <c r="D30" s="16"/>
      <c r="E30" s="16" t="str">
        <f>IF(D30="X",100*0.1,"")</f>
        <v/>
      </c>
      <c r="F30" s="16" t="s">
        <v>81</v>
      </c>
      <c r="G30" s="16">
        <f>IF(F30="X",60*0.1,"")</f>
        <v>6</v>
      </c>
      <c r="H30" s="16" t="str">
        <f t="shared" si="6"/>
        <v/>
      </c>
      <c r="I30" s="16" t="str">
        <f>IF(H30="X",30*0.1,"")</f>
        <v/>
      </c>
      <c r="J30" s="16" t="str">
        <f t="shared" si="7"/>
        <v/>
      </c>
      <c r="K30" s="16" t="str">
        <f t="shared" si="8"/>
        <v/>
      </c>
    </row>
    <row r="31" spans="1:11" ht="15.75" customHeight="1" x14ac:dyDescent="0.3">
      <c r="A31" s="65"/>
      <c r="B31" s="21" t="s">
        <v>70</v>
      </c>
      <c r="C31" s="18">
        <f>E31+G31+I31+K31</f>
        <v>15</v>
      </c>
      <c r="D31" s="19"/>
      <c r="E31" s="19">
        <f>SUM(E28:E30)</f>
        <v>0</v>
      </c>
      <c r="F31" s="19"/>
      <c r="G31" s="19">
        <f>SUM(G28:G30)</f>
        <v>15</v>
      </c>
      <c r="H31" s="19"/>
      <c r="I31" s="19">
        <f>SUM(I28:I30)</f>
        <v>0</v>
      </c>
      <c r="J31" s="19"/>
      <c r="K31" s="19">
        <f>SUM(K29:K30)</f>
        <v>0</v>
      </c>
    </row>
    <row r="32" spans="1:11" ht="15.75" customHeight="1" x14ac:dyDescent="0.3">
      <c r="A32" s="54"/>
      <c r="B32" s="17" t="s">
        <v>67</v>
      </c>
      <c r="C32" s="20">
        <f>VLOOKUP(C31,ESCALA_TRAB_EQUIP!A1:B52,2,FALSE)</f>
        <v>4</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 xml:space="preserve">Rodriguez </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c r="E40" s="16" t="str">
        <f>IF(D40="X",100*0.05,"")</f>
        <v/>
      </c>
      <c r="F40" s="16" t="s">
        <v>81</v>
      </c>
      <c r="G40" s="16">
        <f>IF(F40="X",60*0.05,"")</f>
        <v>3</v>
      </c>
      <c r="H40" s="16" t="str">
        <f t="shared" ref="H40:H42" si="9">IF($C40=ML,"X","")</f>
        <v/>
      </c>
      <c r="I40" s="16" t="str">
        <f>IF(H40="X",30*0.05,"")</f>
        <v/>
      </c>
      <c r="J40" s="16" t="str">
        <f t="shared" ref="J40:J42" si="10">IF($C40=NL,"X","")</f>
        <v/>
      </c>
      <c r="K40" s="16" t="str">
        <f t="shared" ref="K40:K42" si="11">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c r="E41" s="16" t="str">
        <f>IF(D41="X",100*0.1,"")</f>
        <v/>
      </c>
      <c r="F41" s="16" t="s">
        <v>81</v>
      </c>
      <c r="G41" s="16">
        <f>IF(F41="X",60*0.1,"")</f>
        <v>6</v>
      </c>
      <c r="H41" s="16" t="str">
        <f t="shared" si="9"/>
        <v/>
      </c>
      <c r="I41" s="16" t="str">
        <f>IF(H41="X",30*0.1,"")</f>
        <v/>
      </c>
      <c r="J41" s="16" t="str">
        <f t="shared" si="10"/>
        <v/>
      </c>
      <c r="K41" s="16" t="str">
        <f t="shared" si="11"/>
        <v/>
      </c>
    </row>
    <row r="42" spans="1:11" x14ac:dyDescent="0.25">
      <c r="A42" s="65"/>
      <c r="B42" s="30" t="str">
        <f>RUBRICA!A13</f>
        <v>10. Colaboración y trabajo en equipo *</v>
      </c>
      <c r="C42" s="28" t="s">
        <v>63</v>
      </c>
      <c r="D42" s="16"/>
      <c r="E42" s="16" t="str">
        <f>IF(D42="X",100*0.1,"")</f>
        <v/>
      </c>
      <c r="F42" s="16" t="s">
        <v>81</v>
      </c>
      <c r="G42" s="16">
        <f>IF(F42="X",60*0.1,"")</f>
        <v>6</v>
      </c>
      <c r="H42" s="16" t="str">
        <f t="shared" si="9"/>
        <v/>
      </c>
      <c r="I42" s="16" t="str">
        <f>IF(H42="X",30*0.1,"")</f>
        <v/>
      </c>
      <c r="J42" s="16" t="str">
        <f t="shared" si="10"/>
        <v/>
      </c>
      <c r="K42" s="16" t="str">
        <f t="shared" si="11"/>
        <v/>
      </c>
    </row>
    <row r="43" spans="1:11" ht="15.75" customHeight="1" x14ac:dyDescent="0.3">
      <c r="A43" s="65"/>
      <c r="B43" s="21" t="s">
        <v>70</v>
      </c>
      <c r="C43" s="18">
        <f>E43+G43+I43+K43</f>
        <v>15</v>
      </c>
      <c r="D43" s="19"/>
      <c r="E43" s="19">
        <f>SUM(E40:E42)</f>
        <v>0</v>
      </c>
      <c r="F43" s="19"/>
      <c r="G43" s="19">
        <f>SUM(G40:G42)</f>
        <v>15</v>
      </c>
      <c r="H43" s="19"/>
      <c r="I43" s="19">
        <f>SUM(I40:I42)</f>
        <v>0</v>
      </c>
      <c r="J43" s="19"/>
      <c r="K43" s="19">
        <f>SUM(K41:K42)</f>
        <v>0</v>
      </c>
    </row>
    <row r="44" spans="1:11" ht="15.75" customHeight="1" x14ac:dyDescent="0.3">
      <c r="A44" s="54"/>
      <c r="B44" s="17" t="s">
        <v>67</v>
      </c>
      <c r="C44" s="20">
        <f>VLOOKUP(C43,ESCALA_TRAB_EQUIP!A1:B52,2,FALSE)</f>
        <v>4</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 xml:space="preserve">Olivares </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c r="E51" s="16" t="str">
        <f>IF(D51="X",100*0.05,"")</f>
        <v/>
      </c>
      <c r="F51" s="16" t="s">
        <v>81</v>
      </c>
      <c r="G51" s="16">
        <f>IF(F51="X",60*0.05,"")</f>
        <v>3</v>
      </c>
      <c r="H51" s="16" t="str">
        <f t="shared" ref="H51:H53" si="12">IF($C51=ML,"X","")</f>
        <v/>
      </c>
      <c r="I51" s="16" t="str">
        <f>IF(H51="X",30*0.05,"")</f>
        <v/>
      </c>
      <c r="J51" s="16" t="str">
        <f t="shared" ref="J51:J53" si="13">IF($C51=NL,"X","")</f>
        <v/>
      </c>
      <c r="K51" s="16" t="str">
        <f t="shared" ref="K51:K53" si="14">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c r="E52" s="16" t="str">
        <f>IF(D52="X",100*0.1,"")</f>
        <v/>
      </c>
      <c r="F52" s="16" t="s">
        <v>81</v>
      </c>
      <c r="G52" s="16">
        <f>IF(F52="X",60*0.1,"")</f>
        <v>6</v>
      </c>
      <c r="H52" s="16" t="str">
        <f t="shared" si="12"/>
        <v/>
      </c>
      <c r="I52" s="16" t="str">
        <f>IF(H52="X",30*0.1,"")</f>
        <v/>
      </c>
      <c r="J52" s="16" t="str">
        <f t="shared" si="13"/>
        <v/>
      </c>
      <c r="K52" s="16" t="str">
        <f t="shared" si="14"/>
        <v/>
      </c>
    </row>
    <row r="53" spans="1:11" x14ac:dyDescent="0.25">
      <c r="A53" s="65"/>
      <c r="B53" s="30" t="str">
        <f>RUBRICA!A13</f>
        <v>10. Colaboración y trabajo en equipo *</v>
      </c>
      <c r="C53" s="28" t="s">
        <v>63</v>
      </c>
      <c r="D53" s="16"/>
      <c r="E53" s="16" t="str">
        <f>IF(D53="X",100*0.1,"")</f>
        <v/>
      </c>
      <c r="F53" s="16" t="s">
        <v>81</v>
      </c>
      <c r="G53" s="16">
        <f>IF(F53="X",60*0.1,"")</f>
        <v>6</v>
      </c>
      <c r="H53" s="16" t="str">
        <f t="shared" si="12"/>
        <v/>
      </c>
      <c r="I53" s="16" t="str">
        <f>IF(H53="X",30*0.1,"")</f>
        <v/>
      </c>
      <c r="J53" s="16" t="str">
        <f t="shared" si="13"/>
        <v/>
      </c>
      <c r="K53" s="16" t="str">
        <f t="shared" si="14"/>
        <v/>
      </c>
    </row>
    <row r="54" spans="1:11" ht="15.75" customHeight="1" x14ac:dyDescent="0.3">
      <c r="A54" s="65"/>
      <c r="B54" s="21" t="s">
        <v>70</v>
      </c>
      <c r="C54" s="18">
        <f>E54+G54+I54+K54</f>
        <v>15</v>
      </c>
      <c r="D54" s="19"/>
      <c r="E54" s="19">
        <f>SUM(E51:E53)</f>
        <v>0</v>
      </c>
      <c r="F54" s="19"/>
      <c r="G54" s="19">
        <f>SUM(G51:G53)</f>
        <v>15</v>
      </c>
      <c r="H54" s="19"/>
      <c r="I54" s="19">
        <f>SUM(I51:I53)</f>
        <v>0</v>
      </c>
      <c r="J54" s="19"/>
      <c r="K54" s="19">
        <f>SUM(K52:K53)</f>
        <v>0</v>
      </c>
    </row>
    <row r="55" spans="1:11" ht="15.75" customHeight="1" x14ac:dyDescent="0.3">
      <c r="A55" s="54"/>
      <c r="B55" s="17" t="s">
        <v>67</v>
      </c>
      <c r="C55" s="20">
        <f>VLOOKUP(C54,ESCALA_TRAB_EQUIP!A1:B52,2,FALSE)</f>
        <v>4</v>
      </c>
    </row>
    <row r="56" spans="1:11" ht="15.75" customHeight="1" x14ac:dyDescent="0.3">
      <c r="B56" s="22"/>
      <c r="C56" s="23"/>
    </row>
    <row r="57" spans="1:11" ht="15.75" customHeight="1" x14ac:dyDescent="0.25"/>
    <row r="58" spans="1:11" ht="15.75" customHeight="1" x14ac:dyDescent="0.25">
      <c r="A58" s="64" t="s">
        <v>59</v>
      </c>
      <c r="B58" s="53" t="s">
        <v>68</v>
      </c>
      <c r="C58" s="56" t="s">
        <v>79</v>
      </c>
      <c r="D58" s="57"/>
      <c r="E58" s="57"/>
      <c r="F58" s="57"/>
      <c r="G58" s="57"/>
      <c r="H58" s="57"/>
      <c r="I58" s="57"/>
      <c r="J58" s="57"/>
      <c r="K58" s="58"/>
    </row>
    <row r="59" spans="1:11" ht="15.75" customHeight="1" x14ac:dyDescent="0.25">
      <c r="A59" s="65"/>
      <c r="B59" s="54"/>
      <c r="C59" s="59"/>
      <c r="D59" s="60"/>
      <c r="E59" s="60"/>
      <c r="F59" s="60"/>
      <c r="G59" s="60"/>
      <c r="H59" s="60"/>
      <c r="I59" s="60"/>
      <c r="J59" s="60"/>
      <c r="K59" s="61"/>
    </row>
    <row r="60" spans="1:11" ht="15.75" customHeight="1" x14ac:dyDescent="0.25">
      <c r="A60" s="65"/>
      <c r="B60" s="14" t="s">
        <v>69</v>
      </c>
      <c r="C60" s="55" t="s">
        <v>60</v>
      </c>
      <c r="D60" s="62" t="s">
        <v>61</v>
      </c>
      <c r="E60" s="67"/>
      <c r="F60" s="67"/>
      <c r="G60" s="67"/>
      <c r="H60" s="67"/>
      <c r="I60" s="67"/>
      <c r="J60" s="67"/>
      <c r="K60" s="63"/>
    </row>
    <row r="61" spans="1:11" ht="15.75" customHeight="1" x14ac:dyDescent="0.25">
      <c r="A61" s="65"/>
      <c r="B61" s="15" t="s">
        <v>62</v>
      </c>
      <c r="C61" s="54"/>
      <c r="D61" s="62" t="s">
        <v>63</v>
      </c>
      <c r="E61" s="63"/>
      <c r="F61" s="62" t="s">
        <v>64</v>
      </c>
      <c r="G61" s="63"/>
      <c r="H61" s="66" t="s">
        <v>65</v>
      </c>
      <c r="I61" s="63"/>
      <c r="J61" s="62" t="s">
        <v>6</v>
      </c>
      <c r="K61" s="63"/>
    </row>
    <row r="62" spans="1:11" ht="15.75" customHeight="1" x14ac:dyDescent="0.25">
      <c r="A62" s="65"/>
      <c r="B62" s="30">
        <f>RUBRICA!A17</f>
        <v>0</v>
      </c>
      <c r="C62" s="28" t="s">
        <v>63</v>
      </c>
      <c r="D62" s="16"/>
      <c r="E62" s="16" t="str">
        <f>IF(D62="X",100*0.05,"")</f>
        <v/>
      </c>
      <c r="F62" s="16" t="s">
        <v>81</v>
      </c>
      <c r="G62" s="16">
        <f>IF(F62="X",60*0.05,"")</f>
        <v>3</v>
      </c>
      <c r="H62" s="16" t="str">
        <f t="shared" ref="H62:H64" si="15">IF($C62=ML,"X","")</f>
        <v/>
      </c>
      <c r="I62" s="16" t="str">
        <f>IF(H62="X",30*0.05,"")</f>
        <v/>
      </c>
      <c r="J62" s="16" t="str">
        <f t="shared" ref="J62:J64" si="16">IF($C62=NL,"X","")</f>
        <v/>
      </c>
      <c r="K62" s="16" t="str">
        <f t="shared" ref="K62:K64" si="17">IF($J62="X",0,"")</f>
        <v/>
      </c>
    </row>
    <row r="63" spans="1:11" ht="15.75" customHeight="1" x14ac:dyDescent="0.25">
      <c r="A63" s="65"/>
      <c r="B63" s="30">
        <f>RUBRICA!A22</f>
        <v>0</v>
      </c>
      <c r="C63" s="28" t="s">
        <v>63</v>
      </c>
      <c r="D63" s="16"/>
      <c r="E63" s="16" t="str">
        <f>IF(D63="X",100*0.1,"")</f>
        <v/>
      </c>
      <c r="F63" s="16" t="s">
        <v>81</v>
      </c>
      <c r="G63" s="16">
        <f>IF(F63="X",60*0.1,"")</f>
        <v>6</v>
      </c>
      <c r="H63" s="16" t="str">
        <f t="shared" si="15"/>
        <v/>
      </c>
      <c r="I63" s="16" t="str">
        <f>IF(H63="X",30*0.1,"")</f>
        <v/>
      </c>
      <c r="J63" s="16" t="str">
        <f t="shared" si="16"/>
        <v/>
      </c>
      <c r="K63" s="16" t="str">
        <f t="shared" si="17"/>
        <v/>
      </c>
    </row>
    <row r="64" spans="1:11" ht="15.75" customHeight="1" x14ac:dyDescent="0.25">
      <c r="A64" s="65"/>
      <c r="B64" s="30">
        <f>RUBRICA!A24</f>
        <v>0</v>
      </c>
      <c r="C64" s="28" t="s">
        <v>63</v>
      </c>
      <c r="D64" s="16"/>
      <c r="E64" s="16" t="str">
        <f>IF(D64="X",100*0.1,"")</f>
        <v/>
      </c>
      <c r="F64" s="16" t="s">
        <v>81</v>
      </c>
      <c r="G64" s="16">
        <f>IF(F64="X",60*0.1,"")</f>
        <v>6</v>
      </c>
      <c r="H64" s="16" t="str">
        <f t="shared" si="15"/>
        <v/>
      </c>
      <c r="I64" s="16" t="str">
        <f>IF(H64="X",30*0.1,"")</f>
        <v/>
      </c>
      <c r="J64" s="16" t="str">
        <f t="shared" si="16"/>
        <v/>
      </c>
      <c r="K64" s="16" t="str">
        <f t="shared" si="17"/>
        <v/>
      </c>
    </row>
    <row r="65" spans="1:11" ht="15.75" customHeight="1" x14ac:dyDescent="0.3">
      <c r="A65" s="65"/>
      <c r="B65" s="21" t="s">
        <v>70</v>
      </c>
      <c r="C65" s="18">
        <f>E65+G65+I65+K65</f>
        <v>15</v>
      </c>
      <c r="D65" s="19"/>
      <c r="E65" s="19">
        <f>SUM(E62:E64)</f>
        <v>0</v>
      </c>
      <c r="F65" s="19"/>
      <c r="G65" s="19">
        <f>SUM(G62:G64)</f>
        <v>15</v>
      </c>
      <c r="H65" s="19"/>
      <c r="I65" s="19">
        <f>SUM(I62:I64)</f>
        <v>0</v>
      </c>
      <c r="J65" s="19"/>
      <c r="K65" s="19">
        <f>SUM(K63:K64)</f>
        <v>0</v>
      </c>
    </row>
    <row r="66" spans="1:11" ht="15.75" customHeight="1" x14ac:dyDescent="0.3">
      <c r="A66" s="54"/>
      <c r="B66" s="17" t="s">
        <v>67</v>
      </c>
      <c r="C66" s="20">
        <f>VLOOKUP(C65,ESCALA_TRAB_EQUIP!A12:B63,2,FALSE)</f>
        <v>4</v>
      </c>
    </row>
    <row r="67" spans="1:11" ht="15.75" customHeight="1" x14ac:dyDescent="0.25"/>
    <row r="68" spans="1:11" ht="15.75" customHeight="1" x14ac:dyDescent="0.25"/>
    <row r="69" spans="1:11" ht="15.75" customHeight="1" x14ac:dyDescent="0.25"/>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44">
    <mergeCell ref="A58:A66"/>
    <mergeCell ref="B58:B59"/>
    <mergeCell ref="C58:K59"/>
    <mergeCell ref="C60:C61"/>
    <mergeCell ref="D60:K60"/>
    <mergeCell ref="D61:E61"/>
    <mergeCell ref="F61:G61"/>
    <mergeCell ref="H61:I61"/>
    <mergeCell ref="J61:K61"/>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2025-12-08T18:54:06Z</dcterms:modified>
  <cp:category/>
  <cp:contentStatus/>
</cp:coreProperties>
</file>